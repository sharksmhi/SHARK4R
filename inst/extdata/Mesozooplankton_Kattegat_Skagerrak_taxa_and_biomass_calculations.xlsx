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d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<sst xmlns="http://schemas.openxmlformats.org/spreadsheetml/2006/main" count="193" uniqueCount="86">
  <si>
    <t xml:space="preserve">Class</t>
  </si>
  <si>
    <t xml:space="preserve">Order</t>
  </si>
  <si>
    <t xml:space="preserve">Genus</t>
  </si>
  <si>
    <t xml:space="preserve">Scientific name</t>
  </si>
  <si>
    <t xml:space="preserve">Taxonomic entity</t>
  </si>
  <si>
    <t xml:space="preserve">AphiaID</t>
  </si>
  <si>
    <t xml:space="preserve">Stadium</t>
  </si>
  <si>
    <t xml:space="preserve">B</t>
  </si>
  <si>
    <t xml:space="preserve">A</t>
  </si>
  <si>
    <t xml:space="preserve">Ref</t>
  </si>
  <si>
    <t xml:space="preserve">comment</t>
  </si>
  <si>
    <t xml:space="preserve">copepoda</t>
  </si>
  <si>
    <t xml:space="preserve">Calanoida</t>
  </si>
  <si>
    <t xml:space="preserve">Acartia</t>
  </si>
  <si>
    <t xml:space="preserve">Acartia bifilosa</t>
  </si>
  <si>
    <t xml:space="preserve">species</t>
  </si>
  <si>
    <t xml:space="preserve">Hay 1991 (same as for A.clausi)</t>
  </si>
  <si>
    <t xml:space="preserve">alternative species Aphia ID different 104249</t>
  </si>
  <si>
    <t xml:space="preserve">Acartia clausi</t>
  </si>
  <si>
    <t xml:space="preserve">Hay 1991</t>
  </si>
  <si>
    <t xml:space="preserve">alternative  species Aphia ID different 104251</t>
  </si>
  <si>
    <t xml:space="preserve">Acartia longiremis</t>
  </si>
  <si>
    <t xml:space="preserve">alternative species Aphia ID different 104257</t>
  </si>
  <si>
    <t xml:space="preserve">Acartia </t>
  </si>
  <si>
    <t xml:space="preserve">genus</t>
  </si>
  <si>
    <t xml:space="preserve">Calanus</t>
  </si>
  <si>
    <t xml:space="preserve">Calanus finmarchicus</t>
  </si>
  <si>
    <t xml:space="preserve">Hay 1991 (same as for C. helgolandicus)</t>
  </si>
  <si>
    <t xml:space="preserve">NP</t>
  </si>
  <si>
    <t xml:space="preserve">Hygum et al 2000</t>
  </si>
  <si>
    <t xml:space="preserve">Centropages</t>
  </si>
  <si>
    <t xml:space="preserve">Centropages hamatus</t>
  </si>
  <si>
    <t xml:space="preserve">Centropages typicus</t>
  </si>
  <si>
    <t xml:space="preserve">Clausocalanus</t>
  </si>
  <si>
    <t xml:space="preserve">Hay et al 1988</t>
  </si>
  <si>
    <r>
      <rPr>
        <sz val="12"/>
        <rFont val="Aptos"/>
        <family val="2"/>
        <charset val="1"/>
      </rPr>
      <t xml:space="preserve">copepod nauplii *all </t>
    </r>
    <r>
      <rPr>
        <sz val="12"/>
        <color rgb="FFFF0000"/>
        <rFont val="Aptos"/>
        <family val="2"/>
        <charset val="1"/>
      </rPr>
      <t xml:space="preserve">copepod</t>
    </r>
    <r>
      <rPr>
        <sz val="12"/>
        <rFont val="Aptos"/>
        <family val="2"/>
        <charset val="1"/>
      </rPr>
      <t xml:space="preserve"> species</t>
    </r>
  </si>
  <si>
    <t xml:space="preserve">Hay 1991 (same as for Pseudocalanus)</t>
  </si>
  <si>
    <t xml:space="preserve">Cyclopoida</t>
  </si>
  <si>
    <t xml:space="preserve">Corycaeus</t>
  </si>
  <si>
    <t xml:space="preserve">Satapoomin 1999</t>
  </si>
  <si>
    <t xml:space="preserve">order</t>
  </si>
  <si>
    <t xml:space="preserve">Uye 1982 (Oithona)</t>
  </si>
  <si>
    <t xml:space="preserve">Temporary name</t>
  </si>
  <si>
    <t xml:space="preserve">Branchiopoda</t>
  </si>
  <si>
    <t xml:space="preserve">Onychopoda</t>
  </si>
  <si>
    <t xml:space="preserve">Evadne</t>
  </si>
  <si>
    <t xml:space="preserve">Evadne nordmanni</t>
  </si>
  <si>
    <t xml:space="preserve">Hernroth 1985</t>
  </si>
  <si>
    <t xml:space="preserve">Appendicularia</t>
  </si>
  <si>
    <t xml:space="preserve">Copelata</t>
  </si>
  <si>
    <t xml:space="preserve">Fritillaria</t>
  </si>
  <si>
    <t xml:space="preserve">Paffenhöfer 1976 (same as for Oikopleura)</t>
  </si>
  <si>
    <t xml:space="preserve">Copepoda</t>
  </si>
  <si>
    <t xml:space="preserve">Harpacticoida</t>
  </si>
  <si>
    <t xml:space="preserve">Harpacticoid copepod</t>
  </si>
  <si>
    <t xml:space="preserve">Uye (equation "for all copepods")</t>
  </si>
  <si>
    <t xml:space="preserve">According to WoRMS Harpacticoida</t>
  </si>
  <si>
    <t xml:space="preserve">Metridia</t>
  </si>
  <si>
    <t xml:space="preserve">Hirche &amp; Mumm 1992</t>
  </si>
  <si>
    <t xml:space="preserve">Microcalanus</t>
  </si>
  <si>
    <t xml:space="preserve">Hay 1991 (same as for Temora, se Koski 2012)</t>
  </si>
  <si>
    <t xml:space="preserve">Microsetella</t>
  </si>
  <si>
    <t xml:space="preserve">Oikopleura</t>
  </si>
  <si>
    <t xml:space="preserve">Oikopleura dioica</t>
  </si>
  <si>
    <t xml:space="preserve">Paffenhöfer 1976</t>
  </si>
  <si>
    <t xml:space="preserve">alternative  species Aphia ID different 1770057</t>
  </si>
  <si>
    <t xml:space="preserve">Oithona</t>
  </si>
  <si>
    <t xml:space="preserve">Oithona similis</t>
  </si>
  <si>
    <t xml:space="preserve">Uye 1982</t>
  </si>
  <si>
    <t xml:space="preserve">Almeda et al 2010</t>
  </si>
  <si>
    <t xml:space="preserve">Oncaea </t>
  </si>
  <si>
    <t xml:space="preserve">Paracalanus</t>
  </si>
  <si>
    <t xml:space="preserve">Paracalanus parvus</t>
  </si>
  <si>
    <t xml:space="preserve">Species name not accepted </t>
  </si>
  <si>
    <t xml:space="preserve">Ctenopoda</t>
  </si>
  <si>
    <t xml:space="preserve">Penilia</t>
  </si>
  <si>
    <t xml:space="preserve">Penilia avirostris</t>
  </si>
  <si>
    <t xml:space="preserve">Atienza et al 2006</t>
  </si>
  <si>
    <t xml:space="preserve">Podon</t>
  </si>
  <si>
    <t xml:space="preserve">Podon leukarti</t>
  </si>
  <si>
    <t xml:space="preserve">Wrong spelling WoRMS Podon leuckartii</t>
  </si>
  <si>
    <t xml:space="preserve">Podon polyphemoides</t>
  </si>
  <si>
    <r>
      <rPr>
        <sz val="12"/>
        <rFont val="Aptos"/>
        <family val="2"/>
        <charset val="1"/>
      </rPr>
      <t xml:space="preserve">Unaccepted. </t>
    </r>
    <r>
      <rPr>
        <sz val="12"/>
        <color rgb="FFFF0000"/>
        <rFont val="Aptos"/>
        <family val="2"/>
        <charset val="1"/>
      </rPr>
      <t xml:space="preserve">Accepted name: Pleopis polyphemoides</t>
    </r>
  </si>
  <si>
    <t xml:space="preserve">Pseudocalanus</t>
  </si>
  <si>
    <t xml:space="preserve">Temora</t>
  </si>
  <si>
    <t xml:space="preserve">Temora longicornis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</si>
</sst>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"/>
      <family val="2"/>
      <charset val="1"/>
    </font>
    <font>
      <b val="true"/>
      <i val="true"/>
      <sz val="12"/>
      <name val="Aptos"/>
      <family val="2"/>
      <charset val="1"/>
    </font>
    <font>
      <b val="true"/>
      <i val="true"/>
      <sz val="12"/>
      <name val="Aptos Narrow"/>
      <family val="2"/>
      <charset val="1"/>
    </font>
    <font>
      <sz val="12"/>
      <color theme="1"/>
      <name val="Aptos"/>
      <family val="2"/>
      <charset val="1"/>
    </font>
    <font>
      <sz val="12"/>
      <name val="Aptos"/>
      <family val="2"/>
      <charset val="1"/>
    </font>
    <font>
      <sz val="11"/>
      <name val="Aptos Narrow"/>
      <family val="2"/>
      <charset val="1"/>
    </font>
    <font>
      <sz val="12"/>
      <color rgb="FFFF0000"/>
      <name val="Aptos"/>
      <family val="2"/>
      <charset val="1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3.14"/>
    <col collapsed="false" customWidth="true" hidden="false" outlineLevel="0" max="3" min="3" style="1" width="14.14"/>
    <col collapsed="false" customWidth="true" hidden="false" outlineLevel="0" max="4" min="4" style="1" width="33.14"/>
    <col collapsed="false" customWidth="true" hidden="false" outlineLevel="0" max="5" min="5" style="1" width="17.14"/>
    <col collapsed="false" customWidth="true" hidden="false" outlineLevel="0" max="6" min="6" style="1" width="9"/>
    <col collapsed="false" customWidth="true" hidden="false" outlineLevel="0" max="7" min="7" style="1" width="9.3"/>
    <col collapsed="false" customWidth="true" hidden="false" outlineLevel="0" max="8" min="8" style="1" width="7.15"/>
    <col collapsed="false" customWidth="true" hidden="false" outlineLevel="0" max="9" min="9" style="1" width="8.43"/>
    <col collapsed="false" customWidth="true" hidden="false" outlineLevel="0" max="10" min="10" style="1" width="42"/>
    <col collapsed="false" customWidth="true" hidden="false" outlineLevel="0" max="11" min="11" style="1" width="29.86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N1" s="5"/>
      <c r="V1" s="5"/>
    </row>
    <row r="2" customFormat="false" ht="15" hidden="false" customHeight="false" outlineLevel="0" collapsed="false">
      <c r="A2" s="6" t="s">
        <v>11</v>
      </c>
      <c r="B2" s="6" t="s">
        <v>12</v>
      </c>
      <c r="C2" s="6" t="s">
        <v>13</v>
      </c>
      <c r="D2" s="7" t="s">
        <v>14</v>
      </c>
      <c r="E2" s="7" t="s">
        <v>15</v>
      </c>
      <c r="F2" s="8" t="n">
        <v>345919</v>
      </c>
      <c r="G2" s="7"/>
      <c r="H2" s="9" t="n">
        <v>2.965</v>
      </c>
      <c r="I2" s="9" t="n">
        <v>7.713</v>
      </c>
      <c r="J2" s="10" t="s">
        <v>16</v>
      </c>
      <c r="K2" s="6" t="s">
        <v>17</v>
      </c>
      <c r="S2" s="11"/>
      <c r="T2" s="12"/>
      <c r="U2" s="12"/>
    </row>
    <row r="3" customFormat="false" ht="15" hidden="false" customHeight="false" outlineLevel="0" collapsed="false">
      <c r="A3" s="6" t="s">
        <v>11</v>
      </c>
      <c r="B3" s="6" t="s">
        <v>12</v>
      </c>
      <c r="C3" s="6" t="s">
        <v>13</v>
      </c>
      <c r="D3" s="7" t="s">
        <v>18</v>
      </c>
      <c r="E3" s="7" t="s">
        <v>15</v>
      </c>
      <c r="F3" s="8" t="n">
        <v>149755</v>
      </c>
      <c r="G3" s="7"/>
      <c r="H3" s="9" t="n">
        <v>2.965</v>
      </c>
      <c r="I3" s="9" t="n">
        <v>7.713</v>
      </c>
      <c r="J3" s="10" t="s">
        <v>19</v>
      </c>
      <c r="K3" s="6" t="s">
        <v>20</v>
      </c>
      <c r="S3" s="11"/>
      <c r="T3" s="12"/>
      <c r="U3" s="12"/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7" t="s">
        <v>21</v>
      </c>
      <c r="E4" s="7" t="s">
        <v>15</v>
      </c>
      <c r="F4" s="7" t="n">
        <v>346037</v>
      </c>
      <c r="G4" s="7"/>
      <c r="H4" s="9" t="n">
        <v>2.965</v>
      </c>
      <c r="I4" s="9" t="n">
        <v>7.713</v>
      </c>
      <c r="J4" s="10" t="s">
        <v>16</v>
      </c>
      <c r="K4" s="6" t="s">
        <v>22</v>
      </c>
      <c r="S4" s="11"/>
      <c r="T4" s="12"/>
      <c r="U4" s="12"/>
    </row>
    <row r="5" customFormat="false" ht="15" hidden="false" customHeight="false" outlineLevel="0" collapsed="false">
      <c r="A5" s="6" t="s">
        <v>11</v>
      </c>
      <c r="B5" s="6" t="s">
        <v>12</v>
      </c>
      <c r="C5" s="6" t="s">
        <v>13</v>
      </c>
      <c r="D5" s="7" t="s">
        <v>23</v>
      </c>
      <c r="E5" s="7" t="s">
        <v>24</v>
      </c>
      <c r="F5" s="7" t="n">
        <v>104108</v>
      </c>
      <c r="G5" s="7"/>
      <c r="H5" s="9" t="n">
        <v>2.965</v>
      </c>
      <c r="I5" s="9" t="n">
        <v>7.713</v>
      </c>
      <c r="J5" s="10" t="s">
        <v>16</v>
      </c>
      <c r="K5" s="6"/>
      <c r="S5" s="11"/>
      <c r="T5" s="12"/>
      <c r="U5" s="12"/>
    </row>
    <row r="6" customFormat="false" ht="15" hidden="false" customHeight="false" outlineLevel="0" collapsed="false">
      <c r="A6" s="6" t="s">
        <v>11</v>
      </c>
      <c r="B6" s="6" t="s">
        <v>12</v>
      </c>
      <c r="C6" s="6" t="s">
        <v>25</v>
      </c>
      <c r="D6" s="7" t="s">
        <v>26</v>
      </c>
      <c r="E6" s="7" t="s">
        <v>15</v>
      </c>
      <c r="F6" s="7" t="n">
        <v>104464</v>
      </c>
      <c r="G6" s="7"/>
      <c r="H6" s="9" t="n">
        <v>2.691</v>
      </c>
      <c r="I6" s="9" t="n">
        <v>6.883</v>
      </c>
      <c r="J6" s="10" t="s">
        <v>27</v>
      </c>
      <c r="K6" s="6"/>
      <c r="S6" s="11"/>
      <c r="T6" s="12"/>
      <c r="U6" s="12"/>
    </row>
    <row r="7" customFormat="false" ht="15" hidden="false" customHeight="false" outlineLevel="0" collapsed="false">
      <c r="A7" s="13" t="s">
        <v>11</v>
      </c>
      <c r="B7" s="13" t="s">
        <v>12</v>
      </c>
      <c r="C7" s="13" t="s">
        <v>25</v>
      </c>
      <c r="D7" s="14" t="s">
        <v>26</v>
      </c>
      <c r="E7" s="14" t="s">
        <v>15</v>
      </c>
      <c r="F7" s="14" t="n">
        <v>104464</v>
      </c>
      <c r="G7" s="14" t="s">
        <v>28</v>
      </c>
      <c r="H7" s="15" t="n">
        <v>2.03</v>
      </c>
      <c r="I7" s="15" t="n">
        <v>5.38</v>
      </c>
      <c r="J7" s="16" t="s">
        <v>29</v>
      </c>
      <c r="K7" s="6"/>
      <c r="S7" s="11"/>
      <c r="T7" s="12"/>
      <c r="U7" s="12"/>
    </row>
    <row r="8" customFormat="false" ht="15" hidden="false" customHeight="false" outlineLevel="0" collapsed="false">
      <c r="A8" s="6" t="s">
        <v>11</v>
      </c>
      <c r="B8" s="6" t="s">
        <v>12</v>
      </c>
      <c r="C8" s="6" t="s">
        <v>30</v>
      </c>
      <c r="D8" s="7" t="s">
        <v>31</v>
      </c>
      <c r="E8" s="7" t="s">
        <v>15</v>
      </c>
      <c r="F8" s="7" t="n">
        <v>104496</v>
      </c>
      <c r="G8" s="7"/>
      <c r="H8" s="9" t="n">
        <v>2.449</v>
      </c>
      <c r="I8" s="9" t="n">
        <v>6.089</v>
      </c>
      <c r="J8" s="10" t="s">
        <v>19</v>
      </c>
      <c r="K8" s="17"/>
    </row>
    <row r="9" customFormat="false" ht="15" hidden="false" customHeight="false" outlineLevel="0" collapsed="false">
      <c r="A9" s="6" t="s">
        <v>11</v>
      </c>
      <c r="B9" s="6" t="s">
        <v>12</v>
      </c>
      <c r="C9" s="7" t="s">
        <v>30</v>
      </c>
      <c r="D9" s="7" t="s">
        <v>30</v>
      </c>
      <c r="E9" s="7" t="s">
        <v>24</v>
      </c>
      <c r="F9" s="7" t="n">
        <v>104159</v>
      </c>
      <c r="G9" s="7"/>
      <c r="H9" s="9" t="n">
        <v>2.451</v>
      </c>
      <c r="I9" s="9" t="n">
        <v>6.103</v>
      </c>
      <c r="J9" s="10" t="s">
        <v>19</v>
      </c>
      <c r="K9" s="17"/>
    </row>
    <row r="10" customFormat="false" ht="15" hidden="false" customHeight="false" outlineLevel="0" collapsed="false">
      <c r="A10" s="6" t="s">
        <v>11</v>
      </c>
      <c r="B10" s="6" t="s">
        <v>12</v>
      </c>
      <c r="C10" s="7" t="s">
        <v>30</v>
      </c>
      <c r="D10" s="7" t="s">
        <v>32</v>
      </c>
      <c r="E10" s="7" t="s">
        <v>15</v>
      </c>
      <c r="F10" s="7" t="n">
        <v>104499</v>
      </c>
      <c r="G10" s="7"/>
      <c r="H10" s="9" t="n">
        <v>2.451</v>
      </c>
      <c r="I10" s="9" t="n">
        <v>6.103</v>
      </c>
      <c r="J10" s="10" t="s">
        <v>19</v>
      </c>
      <c r="K10" s="17"/>
    </row>
    <row r="11" customFormat="false" ht="15" hidden="false" customHeight="false" outlineLevel="0" collapsed="false">
      <c r="A11" s="6" t="s">
        <v>11</v>
      </c>
      <c r="B11" s="6" t="s">
        <v>12</v>
      </c>
      <c r="C11" s="7" t="s">
        <v>33</v>
      </c>
      <c r="D11" s="7" t="s">
        <v>33</v>
      </c>
      <c r="E11" s="7" t="s">
        <v>24</v>
      </c>
      <c r="F11" s="7" t="n">
        <v>104161</v>
      </c>
      <c r="G11" s="7"/>
      <c r="H11" s="15" t="n">
        <v>3.346</v>
      </c>
      <c r="I11" s="15" t="n">
        <v>8.899</v>
      </c>
      <c r="J11" s="16" t="s">
        <v>34</v>
      </c>
      <c r="K11" s="17"/>
    </row>
    <row r="12" customFormat="false" ht="17.9" hidden="false" customHeight="false" outlineLevel="0" collapsed="false">
      <c r="A12" s="6" t="s">
        <v>11</v>
      </c>
      <c r="B12" s="6"/>
      <c r="C12" s="6"/>
      <c r="D12" s="7" t="s">
        <v>35</v>
      </c>
      <c r="E12" s="7" t="s">
        <v>15</v>
      </c>
      <c r="F12" s="7" t="n">
        <v>1080</v>
      </c>
      <c r="G12" s="14" t="s">
        <v>28</v>
      </c>
      <c r="H12" s="9" t="n">
        <v>2.231</v>
      </c>
      <c r="I12" s="9" t="n">
        <v>5.483</v>
      </c>
      <c r="J12" s="10" t="s">
        <v>36</v>
      </c>
      <c r="K12" s="17"/>
    </row>
    <row r="13" customFormat="false" ht="15" hidden="false" customHeight="false" outlineLevel="0" collapsed="false">
      <c r="A13" s="6" t="s">
        <v>11</v>
      </c>
      <c r="B13" s="6" t="s">
        <v>37</v>
      </c>
      <c r="C13" s="7" t="s">
        <v>38</v>
      </c>
      <c r="D13" s="7" t="s">
        <v>38</v>
      </c>
      <c r="E13" s="7" t="s">
        <v>24</v>
      </c>
      <c r="F13" s="7" t="n">
        <v>128634</v>
      </c>
      <c r="G13" s="7"/>
      <c r="H13" s="9" t="n">
        <v>1.99</v>
      </c>
      <c r="I13" s="9" t="n">
        <f aca="false">12.21/LN(10)+LOG(0.45)</f>
        <v>4.95594813781405</v>
      </c>
      <c r="J13" s="10" t="s">
        <v>39</v>
      </c>
      <c r="K13" s="17"/>
    </row>
    <row r="14" customFormat="false" ht="15" hidden="false" customHeight="false" outlineLevel="0" collapsed="false">
      <c r="A14" s="6" t="s">
        <v>11</v>
      </c>
      <c r="B14" s="6" t="s">
        <v>37</v>
      </c>
      <c r="C14" s="6"/>
      <c r="D14" s="7" t="s">
        <v>37</v>
      </c>
      <c r="E14" s="7" t="s">
        <v>40</v>
      </c>
      <c r="F14" s="7" t="n">
        <v>106415</v>
      </c>
      <c r="G14" s="7"/>
      <c r="H14" s="9" t="n">
        <v>1.84</v>
      </c>
      <c r="I14" s="9" t="n">
        <v>4.84</v>
      </c>
      <c r="J14" s="10" t="s">
        <v>41</v>
      </c>
      <c r="K14" s="17" t="s">
        <v>42</v>
      </c>
    </row>
    <row r="15" customFormat="false" ht="15" hidden="false" customHeight="false" outlineLevel="0" collapsed="false">
      <c r="A15" s="6" t="s">
        <v>43</v>
      </c>
      <c r="B15" s="6" t="s">
        <v>44</v>
      </c>
      <c r="C15" s="7" t="s">
        <v>45</v>
      </c>
      <c r="D15" s="7" t="s">
        <v>46</v>
      </c>
      <c r="E15" s="7" t="s">
        <v>15</v>
      </c>
      <c r="F15" s="7" t="n">
        <v>106273</v>
      </c>
      <c r="G15" s="7"/>
      <c r="H15" s="9" t="n">
        <v>2.54</v>
      </c>
      <c r="I15" s="9" t="n">
        <v>6.83</v>
      </c>
      <c r="J15" s="10" t="s">
        <v>47</v>
      </c>
      <c r="K15" s="17"/>
    </row>
    <row r="16" customFormat="false" ht="15" hidden="false" customHeight="false" outlineLevel="0" collapsed="false">
      <c r="A16" s="6" t="s">
        <v>48</v>
      </c>
      <c r="B16" s="6" t="s">
        <v>49</v>
      </c>
      <c r="C16" s="6" t="s">
        <v>50</v>
      </c>
      <c r="D16" s="7" t="s">
        <v>50</v>
      </c>
      <c r="E16" s="7" t="s">
        <v>24</v>
      </c>
      <c r="F16" s="7" t="n">
        <v>103358</v>
      </c>
      <c r="G16" s="7"/>
      <c r="H16" s="9" t="n">
        <v>2.49</v>
      </c>
      <c r="I16" s="9" t="n">
        <v>6.22</v>
      </c>
      <c r="J16" s="10" t="s">
        <v>51</v>
      </c>
      <c r="K16" s="17"/>
    </row>
    <row r="17" customFormat="false" ht="15" hidden="false" customHeight="false" outlineLevel="0" collapsed="false">
      <c r="A17" s="6" t="s">
        <v>52</v>
      </c>
      <c r="B17" s="6" t="s">
        <v>53</v>
      </c>
      <c r="C17" s="6"/>
      <c r="D17" s="7" t="s">
        <v>54</v>
      </c>
      <c r="E17" s="7" t="s">
        <v>15</v>
      </c>
      <c r="F17" s="7" t="n">
        <v>1102</v>
      </c>
      <c r="G17" s="7"/>
      <c r="H17" s="9" t="n">
        <v>3.13</v>
      </c>
      <c r="I17" s="9" t="n">
        <v>8.18</v>
      </c>
      <c r="J17" s="10" t="s">
        <v>55</v>
      </c>
      <c r="K17" s="17" t="s">
        <v>56</v>
      </c>
    </row>
    <row r="18" customFormat="false" ht="15" hidden="false" customHeight="false" outlineLevel="0" collapsed="false">
      <c r="A18" s="6" t="s">
        <v>11</v>
      </c>
      <c r="B18" s="6" t="s">
        <v>12</v>
      </c>
      <c r="C18" s="6" t="s">
        <v>57</v>
      </c>
      <c r="D18" s="7" t="s">
        <v>57</v>
      </c>
      <c r="E18" s="7" t="s">
        <v>24</v>
      </c>
      <c r="F18" s="7" t="n">
        <v>104190</v>
      </c>
      <c r="G18" s="7"/>
      <c r="H18" s="9" t="n">
        <v>3.017</v>
      </c>
      <c r="I18" s="9" t="n">
        <v>7.968</v>
      </c>
      <c r="J18" s="10" t="s">
        <v>58</v>
      </c>
      <c r="K18" s="17"/>
    </row>
    <row r="19" customFormat="false" ht="15" hidden="false" customHeight="false" outlineLevel="0" collapsed="false">
      <c r="A19" s="6" t="s">
        <v>11</v>
      </c>
      <c r="B19" s="6" t="s">
        <v>12</v>
      </c>
      <c r="C19" s="7" t="s">
        <v>59</v>
      </c>
      <c r="D19" s="7" t="s">
        <v>59</v>
      </c>
      <c r="E19" s="7" t="s">
        <v>24</v>
      </c>
      <c r="F19" s="7" t="n">
        <v>104164</v>
      </c>
      <c r="G19" s="7"/>
      <c r="H19" s="9" t="n">
        <v>3.059</v>
      </c>
      <c r="I19" s="9" t="n">
        <v>7.682</v>
      </c>
      <c r="J19" s="10" t="s">
        <v>60</v>
      </c>
      <c r="K19" s="17"/>
    </row>
    <row r="20" customFormat="false" ht="15" hidden="false" customHeight="false" outlineLevel="0" collapsed="false">
      <c r="A20" s="6" t="s">
        <v>52</v>
      </c>
      <c r="B20" s="6" t="s">
        <v>53</v>
      </c>
      <c r="C20" s="7" t="s">
        <v>61</v>
      </c>
      <c r="D20" s="7" t="s">
        <v>61</v>
      </c>
      <c r="E20" s="7" t="s">
        <v>24</v>
      </c>
      <c r="F20" s="7" t="n">
        <v>115341</v>
      </c>
      <c r="G20" s="7"/>
      <c r="H20" s="9" t="n">
        <v>1.15</v>
      </c>
      <c r="I20" s="9" t="n">
        <f aca="false">7.79/LN(10)+LOG(0.45)</f>
        <v>3.03636652780168</v>
      </c>
      <c r="J20" s="10" t="s">
        <v>39</v>
      </c>
      <c r="K20" s="17"/>
    </row>
    <row r="21" customFormat="false" ht="15" hidden="false" customHeight="false" outlineLevel="0" collapsed="false">
      <c r="A21" s="6" t="s">
        <v>48</v>
      </c>
      <c r="B21" s="6" t="s">
        <v>49</v>
      </c>
      <c r="C21" s="6" t="s">
        <v>62</v>
      </c>
      <c r="D21" s="7" t="s">
        <v>63</v>
      </c>
      <c r="E21" s="7" t="s">
        <v>15</v>
      </c>
      <c r="F21" s="7" t="n">
        <v>103407</v>
      </c>
      <c r="G21" s="7"/>
      <c r="H21" s="9" t="n">
        <v>2.49</v>
      </c>
      <c r="I21" s="9" t="n">
        <v>6.22</v>
      </c>
      <c r="J21" s="10" t="s">
        <v>64</v>
      </c>
      <c r="K21" s="6" t="s">
        <v>65</v>
      </c>
    </row>
    <row r="22" customFormat="false" ht="15" hidden="false" customHeight="false" outlineLevel="0" collapsed="false">
      <c r="A22" s="6" t="s">
        <v>11</v>
      </c>
      <c r="B22" s="6" t="s">
        <v>37</v>
      </c>
      <c r="C22" s="6" t="s">
        <v>66</v>
      </c>
      <c r="D22" s="7" t="s">
        <v>67</v>
      </c>
      <c r="E22" s="7" t="s">
        <v>15</v>
      </c>
      <c r="F22" s="7" t="n">
        <v>106656</v>
      </c>
      <c r="G22" s="7"/>
      <c r="H22" s="9" t="n">
        <v>1.84</v>
      </c>
      <c r="I22" s="9" t="n">
        <v>4.84</v>
      </c>
      <c r="J22" s="10" t="s">
        <v>68</v>
      </c>
      <c r="K22" s="17"/>
    </row>
    <row r="23" s="18" customFormat="true" ht="15" hidden="false" customHeight="false" outlineLevel="0" collapsed="false">
      <c r="A23" s="13" t="s">
        <v>11</v>
      </c>
      <c r="B23" s="13" t="s">
        <v>37</v>
      </c>
      <c r="C23" s="13" t="s">
        <v>66</v>
      </c>
      <c r="D23" s="14" t="s">
        <v>66</v>
      </c>
      <c r="E23" s="14" t="s">
        <v>24</v>
      </c>
      <c r="F23" s="14" t="n">
        <v>106485</v>
      </c>
      <c r="G23" s="14" t="s">
        <v>28</v>
      </c>
      <c r="H23" s="15" t="n">
        <v>2.14</v>
      </c>
      <c r="I23" s="15" t="n">
        <v>2.678</v>
      </c>
      <c r="J23" s="16" t="s">
        <v>69</v>
      </c>
      <c r="K23" s="13"/>
      <c r="W23" s="1"/>
    </row>
    <row r="24" customFormat="false" ht="15" hidden="false" customHeight="false" outlineLevel="0" collapsed="false">
      <c r="A24" s="6" t="s">
        <v>11</v>
      </c>
      <c r="B24" s="6" t="s">
        <v>37</v>
      </c>
      <c r="C24" s="7" t="s">
        <v>70</v>
      </c>
      <c r="D24" s="7" t="s">
        <v>70</v>
      </c>
      <c r="E24" s="7" t="s">
        <v>24</v>
      </c>
      <c r="F24" s="7" t="n">
        <v>128690</v>
      </c>
      <c r="G24" s="7"/>
      <c r="H24" s="9" t="n">
        <v>2.9</v>
      </c>
      <c r="I24" s="9" t="n">
        <f aca="false">17.5/LN(10)+LOG(0.45)</f>
        <v>7.25336594708225</v>
      </c>
      <c r="J24" s="10" t="s">
        <v>39</v>
      </c>
      <c r="K24" s="17"/>
    </row>
    <row r="25" customFormat="false" ht="15" hidden="false" customHeight="false" outlineLevel="0" collapsed="false">
      <c r="A25" s="6" t="s">
        <v>11</v>
      </c>
      <c r="B25" s="6" t="s">
        <v>12</v>
      </c>
      <c r="C25" s="7" t="s">
        <v>71</v>
      </c>
      <c r="D25" s="7" t="s">
        <v>72</v>
      </c>
      <c r="E25" s="7" t="s">
        <v>15</v>
      </c>
      <c r="F25" s="7" t="n">
        <v>104685</v>
      </c>
      <c r="G25" s="7"/>
      <c r="H25" s="9" t="n">
        <v>2.738</v>
      </c>
      <c r="I25" s="9" t="n">
        <v>6.934</v>
      </c>
      <c r="J25" s="10" t="s">
        <v>19</v>
      </c>
      <c r="K25" s="17" t="s">
        <v>73</v>
      </c>
    </row>
    <row r="26" customFormat="false" ht="15" hidden="false" customHeight="false" outlineLevel="0" collapsed="false">
      <c r="A26" s="6" t="s">
        <v>43</v>
      </c>
      <c r="B26" s="6" t="s">
        <v>74</v>
      </c>
      <c r="C26" s="7" t="s">
        <v>75</v>
      </c>
      <c r="D26" s="7" t="s">
        <v>76</v>
      </c>
      <c r="E26" s="7" t="s">
        <v>15</v>
      </c>
      <c r="F26" s="7" t="n">
        <v>106272</v>
      </c>
      <c r="G26" s="7"/>
      <c r="H26" s="9" t="n">
        <v>2.7</v>
      </c>
      <c r="I26" s="9" t="n">
        <v>7.4</v>
      </c>
      <c r="J26" s="10" t="s">
        <v>77</v>
      </c>
      <c r="K26" s="17"/>
    </row>
    <row r="27" customFormat="false" ht="15" hidden="false" customHeight="false" outlineLevel="0" collapsed="false">
      <c r="A27" s="6" t="s">
        <v>43</v>
      </c>
      <c r="B27" s="6" t="s">
        <v>44</v>
      </c>
      <c r="C27" s="7" t="s">
        <v>78</v>
      </c>
      <c r="D27" s="7" t="s">
        <v>79</v>
      </c>
      <c r="E27" s="7" t="s">
        <v>15</v>
      </c>
      <c r="F27" s="7" t="n">
        <v>106277</v>
      </c>
      <c r="G27" s="7"/>
      <c r="H27" s="9" t="n">
        <v>3.9</v>
      </c>
      <c r="I27" s="9" t="n">
        <f aca="false">10.121+0.301029</f>
        <v>10.422029</v>
      </c>
      <c r="J27" s="10" t="s">
        <v>68</v>
      </c>
      <c r="K27" s="17" t="s">
        <v>80</v>
      </c>
    </row>
    <row r="28" customFormat="false" ht="17.9" hidden="false" customHeight="false" outlineLevel="0" collapsed="false">
      <c r="A28" s="6" t="s">
        <v>43</v>
      </c>
      <c r="B28" s="6" t="s">
        <v>44</v>
      </c>
      <c r="C28" s="7" t="s">
        <v>78</v>
      </c>
      <c r="D28" s="7" t="s">
        <v>81</v>
      </c>
      <c r="E28" s="7" t="s">
        <v>15</v>
      </c>
      <c r="F28" s="7" t="n">
        <v>159919</v>
      </c>
      <c r="G28" s="7"/>
      <c r="H28" s="9" t="n">
        <v>4.08</v>
      </c>
      <c r="I28" s="9" t="n">
        <f aca="false">10.6+0.301029</f>
        <v>10.901029</v>
      </c>
      <c r="J28" s="10" t="s">
        <v>68</v>
      </c>
      <c r="K28" s="17" t="s">
        <v>82</v>
      </c>
    </row>
    <row r="29" customFormat="false" ht="15" hidden="false" customHeight="false" outlineLevel="0" collapsed="false">
      <c r="A29" s="6" t="s">
        <v>11</v>
      </c>
      <c r="B29" s="6" t="s">
        <v>12</v>
      </c>
      <c r="C29" s="7" t="s">
        <v>83</v>
      </c>
      <c r="D29" s="7" t="s">
        <v>83</v>
      </c>
      <c r="E29" s="7" t="s">
        <v>24</v>
      </c>
      <c r="F29" s="7" t="n">
        <v>104165</v>
      </c>
      <c r="G29" s="7"/>
      <c r="H29" s="15" t="n">
        <v>3.346</v>
      </c>
      <c r="I29" s="15" t="n">
        <v>8.899</v>
      </c>
      <c r="J29" s="16" t="s">
        <v>34</v>
      </c>
      <c r="K29" s="17"/>
    </row>
    <row r="30" customFormat="false" ht="15" hidden="false" customHeight="false" outlineLevel="0" collapsed="false">
      <c r="A30" s="6" t="s">
        <v>11</v>
      </c>
      <c r="B30" s="6" t="s">
        <v>12</v>
      </c>
      <c r="C30" s="7" t="s">
        <v>84</v>
      </c>
      <c r="D30" s="7" t="s">
        <v>85</v>
      </c>
      <c r="E30" s="7" t="s">
        <v>15</v>
      </c>
      <c r="F30" s="7" t="n">
        <v>104878</v>
      </c>
      <c r="G30" s="7"/>
      <c r="H30" s="15" t="n">
        <v>2.815</v>
      </c>
      <c r="I30" s="15" t="n">
        <v>7.181</v>
      </c>
      <c r="J30" s="16" t="s">
        <v>34</v>
      </c>
      <c r="K30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  <Company>SMHI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2026-04-09T11:15:15Z</dcterms:created>
  <dc:creator>Johansen Marie</dc:creator>
  <dc:description/>
  <dc:language>en-US</dc:language>
  <cp:lastModifiedBy>Anders Torstensson</cp:lastModifiedBy>
  <dcterms:modified xsi:type="dcterms:W3CDTF">2026-04-17T09:49:17Z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